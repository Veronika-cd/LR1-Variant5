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elya\Desktop\"/>
    </mc:Choice>
  </mc:AlternateContent>
  <xr:revisionPtr revIDLastSave="0" documentId="13_ncr:1_{089C1A53-1D2B-4BA6-A073-A6233FE4D5B7}" xr6:coauthVersionLast="47" xr6:coauthVersionMax="47" xr10:uidLastSave="{00000000-0000-0000-0000-000000000000}"/>
  <bookViews>
    <workbookView xWindow="10260" yWindow="0" windowWidth="12780" windowHeight="12360" firstSheet="2" activeTab="5" xr2:uid="{00000000-000D-0000-FFFF-FFFF00000000}"/>
  </bookViews>
  <sheets>
    <sheet name="Бисекция" sheetId="1" r:id="rId1"/>
    <sheet name="Простая интеграция" sheetId="2" r:id="rId2"/>
    <sheet name="Ньютон" sheetId="3" r:id="rId3"/>
    <sheet name="Секущие" sheetId="4" r:id="rId4"/>
    <sheet name="Сравнение" sheetId="5" r:id="rId5"/>
    <sheet name="График" sheetId="6" r:id="rId6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6" l="1"/>
  <c r="B3" i="6"/>
  <c r="B4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2" i="6"/>
  <c r="A10" i="4"/>
  <c r="B10" i="4"/>
  <c r="C10" i="4"/>
  <c r="D10" i="4"/>
  <c r="E10" i="4"/>
  <c r="F10" i="4"/>
  <c r="G10" i="4"/>
  <c r="A11" i="4"/>
  <c r="A12" i="4" s="1"/>
  <c r="A13" i="4" s="1"/>
  <c r="A14" i="4" s="1"/>
  <c r="B11" i="4"/>
  <c r="C11" i="4" s="1"/>
  <c r="E11" i="4" s="1"/>
  <c r="G9" i="4"/>
  <c r="F9" i="4"/>
  <c r="E9" i="4"/>
  <c r="D9" i="4"/>
  <c r="C9" i="4"/>
  <c r="A9" i="4"/>
  <c r="B9" i="4"/>
  <c r="G8" i="4"/>
  <c r="F8" i="4"/>
  <c r="E8" i="4"/>
  <c r="D8" i="4"/>
  <c r="C8" i="4"/>
  <c r="B8" i="4"/>
  <c r="C7" i="4"/>
  <c r="B7" i="4"/>
  <c r="C9" i="3"/>
  <c r="E9" i="3" s="1"/>
  <c r="A9" i="3"/>
  <c r="B9" i="3"/>
  <c r="D9" i="3"/>
  <c r="A10" i="3"/>
  <c r="A11" i="3" s="1"/>
  <c r="A12" i="3" s="1"/>
  <c r="F8" i="3"/>
  <c r="E8" i="3"/>
  <c r="D8" i="3"/>
  <c r="C8" i="3"/>
  <c r="B8" i="3"/>
  <c r="A8" i="3"/>
  <c r="F7" i="3"/>
  <c r="E7" i="3"/>
  <c r="D7" i="3"/>
  <c r="C7" i="3"/>
  <c r="B7" i="3"/>
  <c r="A22" i="2"/>
  <c r="B22" i="2"/>
  <c r="C22" i="2"/>
  <c r="D22" i="2"/>
  <c r="E22" i="2"/>
  <c r="A23" i="2"/>
  <c r="A24" i="2" s="1"/>
  <c r="A25" i="2" s="1"/>
  <c r="A26" i="2" s="1"/>
  <c r="A27" i="2" s="1"/>
  <c r="B23" i="2"/>
  <c r="C23" i="2"/>
  <c r="E23" i="2" s="1"/>
  <c r="D23" i="2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B10" i="2"/>
  <c r="C10" i="2" s="1"/>
  <c r="E9" i="2"/>
  <c r="D9" i="2"/>
  <c r="C9" i="2"/>
  <c r="B9" i="2"/>
  <c r="A9" i="2"/>
  <c r="E8" i="2"/>
  <c r="D8" i="2"/>
  <c r="C8" i="2"/>
  <c r="B8" i="2"/>
  <c r="B5" i="2"/>
  <c r="D22" i="1"/>
  <c r="A11" i="1"/>
  <c r="B11" i="1"/>
  <c r="D11" i="1" s="1"/>
  <c r="E11" i="1" s="1"/>
  <c r="C11" i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H10" i="1"/>
  <c r="G10" i="1"/>
  <c r="F10" i="1"/>
  <c r="E10" i="1"/>
  <c r="D10" i="1"/>
  <c r="C10" i="1"/>
  <c r="B10" i="1"/>
  <c r="A10" i="1"/>
  <c r="E9" i="1"/>
  <c r="H9" i="1" s="1"/>
  <c r="B5" i="1"/>
  <c r="G9" i="1"/>
  <c r="D9" i="1"/>
  <c r="C9" i="1"/>
  <c r="B9" i="1"/>
  <c r="B6" i="1"/>
  <c r="D11" i="4" l="1"/>
  <c r="F11" i="4" s="1"/>
  <c r="F9" i="3"/>
  <c r="B10" i="3"/>
  <c r="B24" i="2"/>
  <c r="C24" i="2" s="1"/>
  <c r="E10" i="2"/>
  <c r="B11" i="2"/>
  <c r="C11" i="2" s="1"/>
  <c r="D10" i="2"/>
  <c r="F11" i="1"/>
  <c r="H11" i="1"/>
  <c r="G11" i="1"/>
  <c r="F9" i="1"/>
  <c r="G11" i="4" l="1"/>
  <c r="B12" i="4"/>
  <c r="D10" i="3"/>
  <c r="C10" i="3"/>
  <c r="E10" i="3" s="1"/>
  <c r="B11" i="3"/>
  <c r="F10" i="3"/>
  <c r="D24" i="2"/>
  <c r="E24" i="2"/>
  <c r="B25" i="2"/>
  <c r="C25" i="2" s="1"/>
  <c r="D11" i="2"/>
  <c r="E11" i="2"/>
  <c r="B12" i="2"/>
  <c r="C12" i="2" s="1"/>
  <c r="B12" i="1"/>
  <c r="C12" i="1"/>
  <c r="G12" i="1" s="1"/>
  <c r="C12" i="4" l="1"/>
  <c r="E12" i="4" s="1"/>
  <c r="D12" i="4"/>
  <c r="F12" i="4"/>
  <c r="C11" i="3"/>
  <c r="D11" i="3"/>
  <c r="E11" i="3" s="1"/>
  <c r="E25" i="2"/>
  <c r="D25" i="2"/>
  <c r="B26" i="2"/>
  <c r="C26" i="2" s="1"/>
  <c r="D12" i="2"/>
  <c r="E12" i="2"/>
  <c r="B13" i="2"/>
  <c r="C13" i="2" s="1"/>
  <c r="D12" i="1"/>
  <c r="E12" i="1" s="1"/>
  <c r="B13" i="4" l="1"/>
  <c r="G12" i="4"/>
  <c r="B12" i="3"/>
  <c r="F11" i="3"/>
  <c r="E26" i="2"/>
  <c r="D26" i="2"/>
  <c r="B27" i="2"/>
  <c r="C27" i="2" s="1"/>
  <c r="D13" i="2"/>
  <c r="E13" i="2"/>
  <c r="B14" i="2"/>
  <c r="C14" i="2" s="1"/>
  <c r="F12" i="1"/>
  <c r="H12" i="1"/>
  <c r="C13" i="4" l="1"/>
  <c r="E13" i="4" s="1"/>
  <c r="D13" i="4"/>
  <c r="F13" i="4"/>
  <c r="C12" i="3"/>
  <c r="D12" i="3"/>
  <c r="E12" i="3" s="1"/>
  <c r="F12" i="3" s="1"/>
  <c r="D27" i="2"/>
  <c r="E27" i="2"/>
  <c r="B15" i="2"/>
  <c r="C15" i="2" s="1"/>
  <c r="E14" i="2"/>
  <c r="D14" i="2"/>
  <c r="C13" i="1"/>
  <c r="G13" i="1" s="1"/>
  <c r="B13" i="1"/>
  <c r="G13" i="4" l="1"/>
  <c r="B14" i="4"/>
  <c r="D15" i="2"/>
  <c r="E15" i="2"/>
  <c r="B16" i="2"/>
  <c r="C16" i="2" s="1"/>
  <c r="D13" i="1"/>
  <c r="E13" i="1" s="1"/>
  <c r="C14" i="4" l="1"/>
  <c r="E14" i="4" s="1"/>
  <c r="D14" i="4"/>
  <c r="B17" i="2"/>
  <c r="C17" i="2" s="1"/>
  <c r="D16" i="2"/>
  <c r="E16" i="2"/>
  <c r="F13" i="1"/>
  <c r="H13" i="1"/>
  <c r="F14" i="4" l="1"/>
  <c r="G14" i="4" s="1"/>
  <c r="E17" i="2"/>
  <c r="B18" i="2"/>
  <c r="C18" i="2" s="1"/>
  <c r="D17" i="2"/>
  <c r="B14" i="1"/>
  <c r="C14" i="1"/>
  <c r="G14" i="1" s="1"/>
  <c r="D18" i="2" l="1"/>
  <c r="E18" i="2"/>
  <c r="B19" i="2"/>
  <c r="C19" i="2" s="1"/>
  <c r="D14" i="1"/>
  <c r="E14" i="1" s="1"/>
  <c r="E19" i="2" l="1"/>
  <c r="D19" i="2"/>
  <c r="B20" i="2"/>
  <c r="C20" i="2" s="1"/>
  <c r="H14" i="1"/>
  <c r="F14" i="1"/>
  <c r="E20" i="2" l="1"/>
  <c r="D20" i="2"/>
  <c r="B21" i="2"/>
  <c r="C21" i="2" s="1"/>
  <c r="B15" i="1"/>
  <c r="C15" i="1"/>
  <c r="G15" i="1" s="1"/>
  <c r="D21" i="2" l="1"/>
  <c r="E21" i="2"/>
  <c r="D15" i="1"/>
  <c r="E15" i="1" s="1"/>
  <c r="F15" i="1" l="1"/>
  <c r="H15" i="1"/>
  <c r="C16" i="1" l="1"/>
  <c r="B16" i="1"/>
  <c r="D16" i="1" s="1"/>
  <c r="E16" i="1" s="1"/>
  <c r="H16" i="1" l="1"/>
  <c r="F16" i="1"/>
  <c r="G16" i="1"/>
  <c r="B17" i="1" l="1"/>
  <c r="D17" i="1" s="1"/>
  <c r="E17" i="1" s="1"/>
  <c r="C17" i="1"/>
  <c r="G17" i="1" s="1"/>
  <c r="F17" i="1" l="1"/>
  <c r="H17" i="1"/>
  <c r="C18" i="1" l="1"/>
  <c r="B18" i="1"/>
  <c r="D18" i="1" s="1"/>
  <c r="E18" i="1" s="1"/>
  <c r="F18" i="1" l="1"/>
  <c r="H18" i="1"/>
  <c r="G18" i="1"/>
  <c r="B19" i="1" l="1"/>
  <c r="C19" i="1"/>
  <c r="G19" i="1" s="1"/>
  <c r="D19" i="1" l="1"/>
  <c r="E19" i="1" s="1"/>
  <c r="F19" i="1" l="1"/>
  <c r="H19" i="1"/>
  <c r="B20" i="1" l="1"/>
  <c r="D20" i="1" s="1"/>
  <c r="E20" i="1" s="1"/>
  <c r="C20" i="1"/>
  <c r="G20" i="1" s="1"/>
  <c r="H20" i="1" l="1"/>
  <c r="F20" i="1"/>
  <c r="C21" i="1" l="1"/>
  <c r="B21" i="1"/>
  <c r="D21" i="1" s="1"/>
  <c r="E21" i="1" s="1"/>
  <c r="F21" i="1" l="1"/>
  <c r="H21" i="1"/>
  <c r="G21" i="1"/>
  <c r="C22" i="1" l="1"/>
  <c r="B22" i="1"/>
  <c r="E22" i="1" s="1"/>
  <c r="H22" i="1" l="1"/>
  <c r="F22" i="1"/>
  <c r="G22" i="1"/>
</calcChain>
</file>

<file path=xl/sharedStrings.xml><?xml version="1.0" encoding="utf-8"?>
<sst xmlns="http://schemas.openxmlformats.org/spreadsheetml/2006/main" count="59" uniqueCount="46">
  <si>
    <t>f(x)=sin(x)-0.5x</t>
  </si>
  <si>
    <t>a=</t>
  </si>
  <si>
    <t>b=</t>
  </si>
  <si>
    <t>eps=</t>
  </si>
  <si>
    <t>f(a)=</t>
  </si>
  <si>
    <t>f(b)=</t>
  </si>
  <si>
    <t>Интеграция</t>
  </si>
  <si>
    <t>a</t>
  </si>
  <si>
    <t>b</t>
  </si>
  <si>
    <t>c=(a+b)/2</t>
  </si>
  <si>
    <t>f(c)</t>
  </si>
  <si>
    <t>b-a</t>
  </si>
  <si>
    <t>F(a)*f(c)</t>
  </si>
  <si>
    <t>|f(c)|</t>
  </si>
  <si>
    <t>phi(x)=2*sin(x)</t>
  </si>
  <si>
    <t>x0=</t>
  </si>
  <si>
    <t>phi'(x0)=</t>
  </si>
  <si>
    <t>n</t>
  </si>
  <si>
    <t>x_n</t>
  </si>
  <si>
    <t>|x_(n+1)-x_n|</t>
  </si>
  <si>
    <t>x_(n+1)=phi(x_n)</t>
  </si>
  <si>
    <t>f(x_(n+1))</t>
  </si>
  <si>
    <t>f'(x)=cos(x)-0.5</t>
  </si>
  <si>
    <t>k</t>
  </si>
  <si>
    <t>x_k</t>
  </si>
  <si>
    <t>f(x_k)</t>
  </si>
  <si>
    <t>f'(x_k)</t>
  </si>
  <si>
    <t>x_(k+1)</t>
  </si>
  <si>
    <t>|x_(k+1)-x_k|</t>
  </si>
  <si>
    <t>x1=</t>
  </si>
  <si>
    <t>x_k-x_(k-1)</t>
  </si>
  <si>
    <t>f(x_k)-f(x_(k-1))</t>
  </si>
  <si>
    <t>Метод</t>
  </si>
  <si>
    <t>Итераций</t>
  </si>
  <si>
    <t>Ответ</t>
  </si>
  <si>
    <t>Невязка</t>
  </si>
  <si>
    <t>Бисекция</t>
  </si>
  <si>
    <t>Простая итерация</t>
  </si>
  <si>
    <t>Ньютон</t>
  </si>
  <si>
    <t>Секущие</t>
  </si>
  <si>
    <t>≈ 3,9·10⁻⁵</t>
  </si>
  <si>
    <t>≈ 1,7·10⁻⁵</t>
  </si>
  <si>
    <t>≈ 1,4·10⁻¹⁰</t>
  </si>
  <si>
    <t>≈ 1,3·10⁻⁶</t>
  </si>
  <si>
    <t>x</t>
  </si>
  <si>
    <t>f(x)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</si>
</sst>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0.0000000"/>
    <numFmt numFmtId="169" formatCode="0.000000"/>
    <numFmt numFmtId="170" formatCode="0.00000"/>
    <numFmt numFmtId="189" formatCode="0.0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0" fontId="2" fillId="0" borderId="0" xfId="0" applyNumberFormat="1" applyFont="1"/>
    <xf numFmtId="169" fontId="2" fillId="0" borderId="0" xfId="0" applyNumberFormat="1" applyFont="1"/>
    <xf numFmtId="0" fontId="2" fillId="0" borderId="0" xfId="0" applyFont="1"/>
    <xf numFmtId="189" fontId="0" fillId="0" borderId="0" xfId="0" applyNumberFormat="1"/>
    <xf numFmtId="170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f(x) = sin(x) − 0,5x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График!$B$1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График!$A$2:$A$32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График!$B$2:$B$32</c:f>
              <c:numCache>
                <c:formatCode>General</c:formatCode>
                <c:ptCount val="31"/>
                <c:pt idx="0">
                  <c:v>0</c:v>
                </c:pt>
                <c:pt idx="1">
                  <c:v>4.9833416646828152E-2</c:v>
                </c:pt>
                <c:pt idx="2">
                  <c:v>9.8669330795061211E-2</c:v>
                </c:pt>
                <c:pt idx="3">
                  <c:v>0.14552020666133955</c:v>
                </c:pt>
                <c:pt idx="4">
                  <c:v>0.18941834230865051</c:v>
                </c:pt>
                <c:pt idx="5">
                  <c:v>0.22942553860420301</c:v>
                </c:pt>
                <c:pt idx="6">
                  <c:v>0.26464247339503538</c:v>
                </c:pt>
                <c:pt idx="7">
                  <c:v>0.29421768723769104</c:v>
                </c:pt>
                <c:pt idx="8">
                  <c:v>0.31735609089952277</c:v>
                </c:pt>
                <c:pt idx="9">
                  <c:v>0.3333269096274834</c:v>
                </c:pt>
                <c:pt idx="10">
                  <c:v>0.3414709848078965</c:v>
                </c:pt>
                <c:pt idx="11">
                  <c:v>0.34120736006143537</c:v>
                </c:pt>
                <c:pt idx="12">
                  <c:v>0.33203908596722631</c:v>
                </c:pt>
                <c:pt idx="13">
                  <c:v>0.31355818541719294</c:v>
                </c:pt>
                <c:pt idx="14">
                  <c:v>0.28544972998846019</c:v>
                </c:pt>
                <c:pt idx="15">
                  <c:v>0.24749498660405445</c:v>
                </c:pt>
                <c:pt idx="16">
                  <c:v>0.19957360304150507</c:v>
                </c:pt>
                <c:pt idx="17">
                  <c:v>0.14166481045246859</c:v>
                </c:pt>
                <c:pt idx="18">
                  <c:v>7.3847630878195125E-2</c:v>
                </c:pt>
                <c:pt idx="19">
                  <c:v>-3.6999123125854849E-3</c:v>
                </c:pt>
                <c:pt idx="20">
                  <c:v>-9.0702573174318291E-2</c:v>
                </c:pt>
                <c:pt idx="21">
                  <c:v>-0.18679063335112633</c:v>
                </c:pt>
                <c:pt idx="22">
                  <c:v>-0.29150359618041</c:v>
                </c:pt>
                <c:pt idx="23">
                  <c:v>-0.40429478782327966</c:v>
                </c:pt>
                <c:pt idx="24">
                  <c:v>-0.524536819448849</c:v>
                </c:pt>
                <c:pt idx="25">
                  <c:v>-0.65152785589604345</c:v>
                </c:pt>
                <c:pt idx="26">
                  <c:v>-0.78449862817853588</c:v>
                </c:pt>
                <c:pt idx="27">
                  <c:v>-0.92262011976617031</c:v>
                </c:pt>
                <c:pt idx="28">
                  <c:v>-1.0650118498440948</c:v>
                </c:pt>
                <c:pt idx="29">
                  <c:v>-1.2107506707860176</c:v>
                </c:pt>
                <c:pt idx="30">
                  <c:v>-1.3588799919401329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84-419D-B854-C0119EFA7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655263"/>
        <c:axId val="792142271"/>
      </c:scatterChart>
      <c:valAx>
        <c:axId val="1027655263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х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2142271"/>
        <c:crosses val="autoZero"/>
        <c:crossBetween val="midCat"/>
      </c:valAx>
      <c:valAx>
        <c:axId val="792142271"/>
        <c:scaling>
          <c:orientation val="minMax"/>
          <c:min val="-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7655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316230</xdr:colOff>
      <xdr:row>10</xdr:row>
      <xdr:rowOff>179070</xdr:rowOff>
    </xdr:from>
    <xdr:to>
      <xdr:col>10</xdr:col>
      <xdr:colOff>11430</xdr:colOff>
      <xdr:row>25</xdr:row>
      <xdr:rowOff>179070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654F97C-257A-4393-A9A7-0FAEFB58A4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workbookViewId="0">
      <selection activeCell="D22" sqref="D22"/>
    </sheetView>
  </sheetViews>
  <sheetFormatPr defaultRowHeight="14.4" x14ac:dyDescent="0.3"/>
  <cols>
    <col min="2" max="2" width="10.109375" bestFit="1" customWidth="1"/>
  </cols>
  <sheetData>
    <row r="1" spans="1:8" x14ac:dyDescent="0.3">
      <c r="A1" t="s">
        <v>0</v>
      </c>
    </row>
    <row r="2" spans="1:8" x14ac:dyDescent="0.3">
      <c r="A2" t="s">
        <v>1</v>
      </c>
      <c r="B2">
        <v>1</v>
      </c>
    </row>
    <row r="3" spans="1:8" x14ac:dyDescent="0.3">
      <c r="A3" t="s">
        <v>2</v>
      </c>
      <c r="B3">
        <v>2</v>
      </c>
    </row>
    <row r="4" spans="1:8" x14ac:dyDescent="0.3">
      <c r="A4" t="s">
        <v>3</v>
      </c>
      <c r="B4">
        <v>1E-4</v>
      </c>
    </row>
    <row r="5" spans="1:8" x14ac:dyDescent="0.3">
      <c r="A5" t="s">
        <v>4</v>
      </c>
      <c r="B5" s="3">
        <f>+SIN(B2)-0.5*B2</f>
        <v>0.3414709848078965</v>
      </c>
    </row>
    <row r="6" spans="1:8" x14ac:dyDescent="0.3">
      <c r="A6" t="s">
        <v>5</v>
      </c>
      <c r="B6" s="3">
        <f>+SIN(B3)-0.5*B3</f>
        <v>-9.0702573174318291E-2</v>
      </c>
    </row>
    <row r="8" spans="1:8" x14ac:dyDescent="0.3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12</v>
      </c>
      <c r="G8" t="s">
        <v>11</v>
      </c>
      <c r="H8" t="s">
        <v>13</v>
      </c>
    </row>
    <row r="9" spans="1:8" x14ac:dyDescent="0.3">
      <c r="A9">
        <v>1</v>
      </c>
      <c r="B9">
        <f>$B$2</f>
        <v>1</v>
      </c>
      <c r="C9">
        <f>$B$3</f>
        <v>2</v>
      </c>
      <c r="D9">
        <f>(B9+C9)/2</f>
        <v>1.5</v>
      </c>
      <c r="E9" s="2">
        <f>SIN(D9)-0.5*D9</f>
        <v>0.24749498660405445</v>
      </c>
      <c r="F9">
        <f>E9*$B$5</f>
        <v>8.4512356810703626E-2</v>
      </c>
      <c r="G9">
        <f>C9-B9</f>
        <v>1</v>
      </c>
      <c r="H9">
        <f>ABS(E9)</f>
        <v>0.24749498660405445</v>
      </c>
    </row>
    <row r="10" spans="1:8" x14ac:dyDescent="0.3">
      <c r="A10">
        <f>A9+1</f>
        <v>2</v>
      </c>
      <c r="B10">
        <f>IF(F9&lt;0,B9,D9)</f>
        <v>1.5</v>
      </c>
      <c r="C10">
        <f>IF(F9&lt;0,D9,C9)</f>
        <v>2</v>
      </c>
      <c r="D10">
        <f>(B10+C10)/2</f>
        <v>1.75</v>
      </c>
      <c r="E10">
        <f>SIN(D10)-0.5*D10</f>
        <v>0.10898594687393692</v>
      </c>
      <c r="F10">
        <f>E10*$B$5</f>
        <v>3.7215538609264333E-2</v>
      </c>
      <c r="G10">
        <f>C10-B10</f>
        <v>0.5</v>
      </c>
      <c r="H10">
        <f>ABS(E10)</f>
        <v>0.10898594687393692</v>
      </c>
    </row>
    <row r="11" spans="1:8" x14ac:dyDescent="0.3">
      <c r="A11">
        <f t="shared" ref="A11:A22" si="0">A10+1</f>
        <v>3</v>
      </c>
      <c r="B11">
        <f t="shared" ref="B11:B22" si="1">IF(F10&lt;0,B10,D10)</f>
        <v>1.75</v>
      </c>
      <c r="C11">
        <f t="shared" ref="C11:C22" si="2">IF(F10&lt;0,D10,C10)</f>
        <v>2</v>
      </c>
      <c r="D11">
        <f t="shared" ref="D11:D22" si="3">(B11+C11)/2</f>
        <v>1.875</v>
      </c>
      <c r="E11">
        <f t="shared" ref="E11:E22" si="4">SIN(D11)-0.5*D11</f>
        <v>1.6585781609693817E-2</v>
      </c>
      <c r="F11">
        <f t="shared" ref="F11:F22" si="5">E11*$B$5</f>
        <v>5.6635631800708471E-3</v>
      </c>
      <c r="G11">
        <f t="shared" ref="G11:G22" si="6">C11-B11</f>
        <v>0.25</v>
      </c>
      <c r="H11">
        <f t="shared" ref="H11:H22" si="7">ABS(E11)</f>
        <v>1.6585781609693817E-2</v>
      </c>
    </row>
    <row r="12" spans="1:8" x14ac:dyDescent="0.3">
      <c r="A12">
        <f t="shared" si="0"/>
        <v>4</v>
      </c>
      <c r="B12">
        <f t="shared" si="1"/>
        <v>1.875</v>
      </c>
      <c r="C12">
        <f t="shared" si="2"/>
        <v>2</v>
      </c>
      <c r="D12">
        <f t="shared" si="3"/>
        <v>1.9375</v>
      </c>
      <c r="E12">
        <f t="shared" si="4"/>
        <v>-3.52357191376238E-2</v>
      </c>
      <c r="F12">
        <f t="shared" si="5"/>
        <v>-1.2031975714338845E-2</v>
      </c>
      <c r="G12">
        <f t="shared" si="6"/>
        <v>0.125</v>
      </c>
      <c r="H12">
        <f t="shared" si="7"/>
        <v>3.52357191376238E-2</v>
      </c>
    </row>
    <row r="13" spans="1:8" x14ac:dyDescent="0.3">
      <c r="A13">
        <f t="shared" si="0"/>
        <v>5</v>
      </c>
      <c r="B13">
        <f t="shared" si="1"/>
        <v>1.875</v>
      </c>
      <c r="C13">
        <f t="shared" si="2"/>
        <v>1.9375</v>
      </c>
      <c r="D13">
        <f t="shared" si="3"/>
        <v>1.90625</v>
      </c>
      <c r="E13">
        <f t="shared" si="4"/>
        <v>-8.8639413142455048E-3</v>
      </c>
      <c r="F13">
        <f t="shared" si="5"/>
        <v>-3.0267787698548131E-3</v>
      </c>
      <c r="G13">
        <f t="shared" si="6"/>
        <v>6.25E-2</v>
      </c>
      <c r="H13">
        <f t="shared" si="7"/>
        <v>8.8639413142455048E-3</v>
      </c>
    </row>
    <row r="14" spans="1:8" x14ac:dyDescent="0.3">
      <c r="A14">
        <f t="shared" si="0"/>
        <v>6</v>
      </c>
      <c r="B14">
        <f t="shared" si="1"/>
        <v>1.875</v>
      </c>
      <c r="C14">
        <f t="shared" si="2"/>
        <v>1.90625</v>
      </c>
      <c r="D14">
        <f t="shared" si="3"/>
        <v>1.890625</v>
      </c>
      <c r="E14">
        <f t="shared" si="4"/>
        <v>3.9767978313970387E-3</v>
      </c>
      <c r="F14">
        <f t="shared" si="5"/>
        <v>1.3579610718690539E-3</v>
      </c>
      <c r="G14">
        <f t="shared" si="6"/>
        <v>3.125E-2</v>
      </c>
      <c r="H14">
        <f t="shared" si="7"/>
        <v>3.9767978313970387E-3</v>
      </c>
    </row>
    <row r="15" spans="1:8" x14ac:dyDescent="0.3">
      <c r="A15">
        <f t="shared" si="0"/>
        <v>7</v>
      </c>
      <c r="B15">
        <f t="shared" si="1"/>
        <v>1.890625</v>
      </c>
      <c r="C15">
        <f t="shared" si="2"/>
        <v>1.90625</v>
      </c>
      <c r="D15">
        <f t="shared" si="3"/>
        <v>1.8984375</v>
      </c>
      <c r="E15">
        <f t="shared" si="4"/>
        <v>-2.4146777211424553E-3</v>
      </c>
      <c r="F15">
        <f t="shared" si="5"/>
        <v>-8.2454237943220153E-4</v>
      </c>
      <c r="G15">
        <f t="shared" si="6"/>
        <v>1.5625E-2</v>
      </c>
      <c r="H15">
        <f t="shared" si="7"/>
        <v>2.4146777211424553E-3</v>
      </c>
    </row>
    <row r="16" spans="1:8" x14ac:dyDescent="0.3">
      <c r="A16">
        <f t="shared" si="0"/>
        <v>8</v>
      </c>
      <c r="B16">
        <f t="shared" si="1"/>
        <v>1.890625</v>
      </c>
      <c r="C16">
        <f t="shared" si="2"/>
        <v>1.8984375</v>
      </c>
      <c r="D16">
        <f t="shared" si="3"/>
        <v>1.89453125</v>
      </c>
      <c r="E16">
        <f t="shared" si="4"/>
        <v>7.8829312330819246E-4</v>
      </c>
      <c r="F16">
        <f t="shared" si="5"/>
        <v>2.6917922913334108E-4</v>
      </c>
      <c r="G16">
        <f t="shared" si="6"/>
        <v>7.8125E-3</v>
      </c>
      <c r="H16">
        <f t="shared" si="7"/>
        <v>7.8829312330819246E-4</v>
      </c>
    </row>
    <row r="17" spans="1:8" x14ac:dyDescent="0.3">
      <c r="A17">
        <f t="shared" si="0"/>
        <v>9</v>
      </c>
      <c r="B17">
        <f t="shared" si="1"/>
        <v>1.89453125</v>
      </c>
      <c r="C17">
        <f t="shared" si="2"/>
        <v>1.8984375</v>
      </c>
      <c r="D17">
        <f t="shared" si="3"/>
        <v>1.896484375</v>
      </c>
      <c r="E17">
        <f t="shared" si="4"/>
        <v>-8.1138521864609903E-4</v>
      </c>
      <c r="F17">
        <f t="shared" si="5"/>
        <v>-2.7706450966965385E-4</v>
      </c>
      <c r="G17">
        <f t="shared" si="6"/>
        <v>3.90625E-3</v>
      </c>
      <c r="H17">
        <f t="shared" si="7"/>
        <v>8.1138521864609903E-4</v>
      </c>
    </row>
    <row r="18" spans="1:8" x14ac:dyDescent="0.3">
      <c r="A18">
        <f t="shared" si="0"/>
        <v>10</v>
      </c>
      <c r="B18">
        <f t="shared" si="1"/>
        <v>1.89453125</v>
      </c>
      <c r="C18">
        <f t="shared" si="2"/>
        <v>1.896484375</v>
      </c>
      <c r="D18">
        <f t="shared" si="3"/>
        <v>1.8955078125</v>
      </c>
      <c r="E18">
        <f t="shared" si="4"/>
        <v>-1.1094128715583018E-5</v>
      </c>
      <c r="F18">
        <f t="shared" si="5"/>
        <v>-3.7883230580956972E-6</v>
      </c>
      <c r="G18">
        <f t="shared" si="6"/>
        <v>1.953125E-3</v>
      </c>
      <c r="H18">
        <f t="shared" si="7"/>
        <v>1.1094128715583018E-5</v>
      </c>
    </row>
    <row r="19" spans="1:8" x14ac:dyDescent="0.3">
      <c r="A19">
        <f t="shared" si="0"/>
        <v>11</v>
      </c>
      <c r="B19">
        <f t="shared" si="1"/>
        <v>1.89453125</v>
      </c>
      <c r="C19">
        <f t="shared" si="2"/>
        <v>1.8955078125</v>
      </c>
      <c r="D19">
        <f t="shared" si="3"/>
        <v>1.89501953125</v>
      </c>
      <c r="E19">
        <f t="shared" si="4"/>
        <v>3.8871249559824239E-4</v>
      </c>
      <c r="F19">
        <f t="shared" si="5"/>
        <v>1.3273403867906697E-4</v>
      </c>
      <c r="G19">
        <f t="shared" si="6"/>
        <v>9.765625E-4</v>
      </c>
      <c r="H19">
        <f t="shared" si="7"/>
        <v>3.8871249559824239E-4</v>
      </c>
    </row>
    <row r="20" spans="1:8" x14ac:dyDescent="0.3">
      <c r="A20">
        <f t="shared" si="0"/>
        <v>12</v>
      </c>
      <c r="B20">
        <f t="shared" si="1"/>
        <v>1.89501953125</v>
      </c>
      <c r="C20">
        <f t="shared" si="2"/>
        <v>1.8955078125</v>
      </c>
      <c r="D20">
        <f t="shared" si="3"/>
        <v>1.895263671875</v>
      </c>
      <c r="E20">
        <f t="shared" si="4"/>
        <v>1.8883743069841863E-4</v>
      </c>
      <c r="F20">
        <f t="shared" si="5"/>
        <v>6.4482503429181911E-5</v>
      </c>
      <c r="G20">
        <f t="shared" si="6"/>
        <v>4.8828125E-4</v>
      </c>
      <c r="H20">
        <f t="shared" si="7"/>
        <v>1.8883743069841863E-4</v>
      </c>
    </row>
    <row r="21" spans="1:8" x14ac:dyDescent="0.3">
      <c r="A21">
        <f t="shared" si="0"/>
        <v>13</v>
      </c>
      <c r="B21">
        <f t="shared" si="1"/>
        <v>1.895263671875</v>
      </c>
      <c r="C21">
        <f t="shared" si="2"/>
        <v>1.8955078125</v>
      </c>
      <c r="D21">
        <f t="shared" si="3"/>
        <v>1.8953857421875</v>
      </c>
      <c r="E21">
        <f t="shared" si="4"/>
        <v>8.8878712515727543E-5</v>
      </c>
      <c r="F21">
        <f t="shared" si="5"/>
        <v>3.0349501491203399E-5</v>
      </c>
      <c r="G21">
        <f t="shared" si="6"/>
        <v>2.44140625E-4</v>
      </c>
      <c r="H21">
        <f t="shared" si="7"/>
        <v>8.8878712515727543E-5</v>
      </c>
    </row>
    <row r="22" spans="1:8" x14ac:dyDescent="0.3">
      <c r="A22">
        <f t="shared" si="0"/>
        <v>14</v>
      </c>
      <c r="B22">
        <f t="shared" si="1"/>
        <v>1.8953857421875</v>
      </c>
      <c r="C22">
        <f t="shared" si="2"/>
        <v>1.8955078125</v>
      </c>
      <c r="D22" s="4">
        <f>(B22+C22)/2</f>
        <v>1.89544677734375</v>
      </c>
      <c r="E22">
        <f t="shared" si="4"/>
        <v>3.8894057244887037E-5</v>
      </c>
      <c r="F22">
        <f t="shared" si="5"/>
        <v>1.3281192030586279E-5</v>
      </c>
      <c r="G22">
        <f t="shared" si="6"/>
        <v>1.220703125E-4</v>
      </c>
      <c r="H22">
        <f t="shared" si="7"/>
        <v>3.8894057244887037E-5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D68D0-D74E-47E7-9878-8B9DD965F2B3}">
  <dimension ref="A1:E27"/>
  <sheetViews>
    <sheetView topLeftCell="A4" workbookViewId="0">
      <selection activeCell="C14" sqref="C14"/>
    </sheetView>
  </sheetViews>
  <sheetFormatPr defaultRowHeight="14.4" x14ac:dyDescent="0.3"/>
  <cols>
    <col min="3" max="3" width="9.44140625" bestFit="1" customWidth="1"/>
    <col min="4" max="4" width="12.77734375" customWidth="1"/>
    <col min="5" max="5" width="13.77734375" customWidth="1"/>
  </cols>
  <sheetData>
    <row r="1" spans="1:5" x14ac:dyDescent="0.3">
      <c r="A1" t="s">
        <v>0</v>
      </c>
    </row>
    <row r="2" spans="1:5" x14ac:dyDescent="0.3">
      <c r="A2" t="s">
        <v>14</v>
      </c>
    </row>
    <row r="3" spans="1:5" x14ac:dyDescent="0.3">
      <c r="A3" t="s">
        <v>15</v>
      </c>
      <c r="B3">
        <v>1.5</v>
      </c>
    </row>
    <row r="4" spans="1:5" x14ac:dyDescent="0.3">
      <c r="A4" t="s">
        <v>3</v>
      </c>
      <c r="B4">
        <v>1E-4</v>
      </c>
    </row>
    <row r="5" spans="1:5" x14ac:dyDescent="0.3">
      <c r="A5" t="s">
        <v>16</v>
      </c>
      <c r="B5" s="3">
        <f>2*COS(B3)</f>
        <v>0.14147440333540581</v>
      </c>
    </row>
    <row r="7" spans="1:5" x14ac:dyDescent="0.3">
      <c r="A7" t="s">
        <v>17</v>
      </c>
      <c r="B7" t="s">
        <v>18</v>
      </c>
      <c r="C7" t="s">
        <v>20</v>
      </c>
      <c r="D7" t="s">
        <v>19</v>
      </c>
      <c r="E7" t="s">
        <v>21</v>
      </c>
    </row>
    <row r="8" spans="1:5" x14ac:dyDescent="0.3">
      <c r="A8">
        <v>0</v>
      </c>
      <c r="B8">
        <f>$B$3</f>
        <v>1.5</v>
      </c>
      <c r="C8">
        <f>2*SIN(B8)</f>
        <v>1.9949899732081089</v>
      </c>
      <c r="D8">
        <f>ABS(C8-B8)</f>
        <v>0.49498997320810889</v>
      </c>
      <c r="E8">
        <f>SIN(C8)-0.5*C8</f>
        <v>-8.6124073526242406E-2</v>
      </c>
    </row>
    <row r="9" spans="1:5" x14ac:dyDescent="0.3">
      <c r="A9">
        <f>A8+1</f>
        <v>1</v>
      </c>
      <c r="B9">
        <f>C8</f>
        <v>1.9949899732081089</v>
      </c>
      <c r="C9">
        <f>2*SIN(B9)</f>
        <v>1.8227418261556241</v>
      </c>
      <c r="D9">
        <f>ABS(C9-B9)</f>
        <v>0.17224814705248481</v>
      </c>
      <c r="E9">
        <f>SIN(C9)-0.5*C9</f>
        <v>5.7058351041332278E-2</v>
      </c>
    </row>
    <row r="10" spans="1:5" x14ac:dyDescent="0.3">
      <c r="A10">
        <f t="shared" ref="A10:A21" si="0">A9+1</f>
        <v>2</v>
      </c>
      <c r="B10">
        <f t="shared" ref="B10:B28" si="1">C9</f>
        <v>1.8227418261556241</v>
      </c>
      <c r="C10">
        <f t="shared" ref="C10:C28" si="2">2*SIN(B10)</f>
        <v>1.9368585282382886</v>
      </c>
      <c r="D10">
        <f t="shared" ref="D10:D21" si="3">ABS(C10-B10)</f>
        <v>0.11411670208266456</v>
      </c>
      <c r="E10">
        <f t="shared" ref="E10:E21" si="4">SIN(C10)-0.5*C10</f>
        <v>-3.468518191173342E-2</v>
      </c>
    </row>
    <row r="11" spans="1:5" x14ac:dyDescent="0.3">
      <c r="A11">
        <f t="shared" si="0"/>
        <v>3</v>
      </c>
      <c r="B11">
        <f t="shared" si="1"/>
        <v>1.9368585282382886</v>
      </c>
      <c r="C11">
        <f t="shared" si="2"/>
        <v>1.8674881644148218</v>
      </c>
      <c r="D11">
        <f t="shared" si="3"/>
        <v>6.9370363823466841E-2</v>
      </c>
      <c r="E11">
        <f t="shared" si="4"/>
        <v>2.256480639819558E-2</v>
      </c>
    </row>
    <row r="12" spans="1:5" x14ac:dyDescent="0.3">
      <c r="A12">
        <f t="shared" si="0"/>
        <v>4</v>
      </c>
      <c r="B12">
        <f t="shared" si="1"/>
        <v>1.8674881644148218</v>
      </c>
      <c r="C12">
        <f t="shared" si="2"/>
        <v>1.912617777211213</v>
      </c>
      <c r="D12">
        <f t="shared" si="3"/>
        <v>4.5129612796391161E-2</v>
      </c>
      <c r="E12">
        <f t="shared" si="4"/>
        <v>-1.4163216823679825E-2</v>
      </c>
    </row>
    <row r="13" spans="1:5" x14ac:dyDescent="0.3">
      <c r="A13">
        <f t="shared" si="0"/>
        <v>5</v>
      </c>
      <c r="B13">
        <f t="shared" si="1"/>
        <v>1.912617777211213</v>
      </c>
      <c r="C13">
        <f t="shared" si="2"/>
        <v>1.8842913435638533</v>
      </c>
      <c r="D13">
        <f t="shared" si="3"/>
        <v>2.832643364735965E-2</v>
      </c>
      <c r="E13">
        <f t="shared" si="4"/>
        <v>9.1158987854252915E-3</v>
      </c>
    </row>
    <row r="14" spans="1:5" x14ac:dyDescent="0.3">
      <c r="A14">
        <f t="shared" si="0"/>
        <v>6</v>
      </c>
      <c r="B14">
        <f t="shared" si="1"/>
        <v>1.8842913435638533</v>
      </c>
      <c r="C14">
        <f t="shared" si="2"/>
        <v>1.9025231411347039</v>
      </c>
      <c r="D14">
        <f t="shared" si="3"/>
        <v>1.8231797570850583E-2</v>
      </c>
      <c r="E14">
        <f t="shared" si="4"/>
        <v>-5.7801994047137484E-3</v>
      </c>
    </row>
    <row r="15" spans="1:5" x14ac:dyDescent="0.3">
      <c r="A15">
        <f t="shared" si="0"/>
        <v>7</v>
      </c>
      <c r="B15">
        <f t="shared" si="1"/>
        <v>1.9025231411347039</v>
      </c>
      <c r="C15">
        <f t="shared" si="2"/>
        <v>1.8909627423252764</v>
      </c>
      <c r="D15">
        <f t="shared" si="3"/>
        <v>1.1560398809427497E-2</v>
      </c>
      <c r="E15">
        <f t="shared" si="4"/>
        <v>3.7016850148957614E-3</v>
      </c>
    </row>
    <row r="16" spans="1:5" x14ac:dyDescent="0.3">
      <c r="A16">
        <f t="shared" si="0"/>
        <v>8</v>
      </c>
      <c r="B16">
        <f t="shared" si="1"/>
        <v>1.8909627423252764</v>
      </c>
      <c r="C16">
        <f t="shared" si="2"/>
        <v>1.8983661123550679</v>
      </c>
      <c r="D16">
        <f t="shared" si="3"/>
        <v>7.4033700297915228E-3</v>
      </c>
      <c r="E16">
        <f t="shared" si="4"/>
        <v>-2.3560130119008038E-3</v>
      </c>
    </row>
    <row r="17" spans="1:5" x14ac:dyDescent="0.3">
      <c r="A17">
        <f t="shared" si="0"/>
        <v>9</v>
      </c>
      <c r="B17">
        <f t="shared" si="1"/>
        <v>1.8983661123550679</v>
      </c>
      <c r="C17">
        <f t="shared" si="2"/>
        <v>1.8936540863312663</v>
      </c>
      <c r="D17">
        <f t="shared" si="3"/>
        <v>4.7120260238016076E-3</v>
      </c>
      <c r="E17">
        <f t="shared" si="4"/>
        <v>1.5055444516633987E-3</v>
      </c>
    </row>
    <row r="18" spans="1:5" x14ac:dyDescent="0.3">
      <c r="A18">
        <f t="shared" si="0"/>
        <v>10</v>
      </c>
      <c r="B18">
        <f t="shared" si="1"/>
        <v>1.8936540863312663</v>
      </c>
      <c r="C18">
        <f t="shared" si="2"/>
        <v>1.8966651752345931</v>
      </c>
      <c r="D18">
        <f t="shared" si="3"/>
        <v>3.0110889033267974E-3</v>
      </c>
      <c r="E18">
        <f t="shared" si="4"/>
        <v>-9.5964979756102409E-4</v>
      </c>
    </row>
    <row r="19" spans="1:5" x14ac:dyDescent="0.3">
      <c r="A19">
        <f t="shared" si="0"/>
        <v>11</v>
      </c>
      <c r="B19">
        <f t="shared" si="1"/>
        <v>1.8966651752345931</v>
      </c>
      <c r="C19">
        <f t="shared" si="2"/>
        <v>1.8947458756394711</v>
      </c>
      <c r="D19">
        <f t="shared" si="3"/>
        <v>1.9192995951220482E-3</v>
      </c>
      <c r="E19">
        <f t="shared" si="4"/>
        <v>6.1268397500913174E-4</v>
      </c>
    </row>
    <row r="20" spans="1:5" x14ac:dyDescent="0.3">
      <c r="A20">
        <f t="shared" si="0"/>
        <v>12</v>
      </c>
      <c r="B20">
        <f t="shared" si="1"/>
        <v>1.8947458756394711</v>
      </c>
      <c r="C20">
        <f t="shared" si="2"/>
        <v>1.8959712435894893</v>
      </c>
      <c r="D20">
        <f t="shared" si="3"/>
        <v>1.2253679500182635E-3</v>
      </c>
      <c r="E20">
        <f t="shared" si="4"/>
        <v>-3.9076234605783799E-4</v>
      </c>
    </row>
    <row r="21" spans="1:5" x14ac:dyDescent="0.3">
      <c r="A21">
        <f t="shared" si="0"/>
        <v>13</v>
      </c>
      <c r="B21">
        <f t="shared" si="1"/>
        <v>1.8959712435894893</v>
      </c>
      <c r="C21">
        <f t="shared" si="2"/>
        <v>1.8951897188973736</v>
      </c>
      <c r="D21">
        <f t="shared" si="3"/>
        <v>7.8152469211567599E-4</v>
      </c>
      <c r="E21">
        <f t="shared" si="4"/>
        <v>2.4938783049710533E-4</v>
      </c>
    </row>
    <row r="22" spans="1:5" x14ac:dyDescent="0.3">
      <c r="A22">
        <f t="shared" ref="A22:A28" si="5">A21+1</f>
        <v>14</v>
      </c>
      <c r="B22">
        <f t="shared" si="1"/>
        <v>1.8951897188973736</v>
      </c>
      <c r="C22">
        <f t="shared" si="2"/>
        <v>1.8956884945583679</v>
      </c>
      <c r="D22">
        <f t="shared" ref="D22:D28" si="6">ABS(C22-B22)</f>
        <v>4.9877566099421067E-4</v>
      </c>
      <c r="E22">
        <f t="shared" ref="E22:E28" si="7">SIN(C22)-0.5*C22</f>
        <v>-1.5909459345508914E-4</v>
      </c>
    </row>
    <row r="23" spans="1:5" x14ac:dyDescent="0.3">
      <c r="A23">
        <f t="shared" si="5"/>
        <v>15</v>
      </c>
      <c r="B23">
        <f t="shared" si="1"/>
        <v>1.8956884945583679</v>
      </c>
      <c r="C23">
        <f t="shared" si="2"/>
        <v>1.8953703053714577</v>
      </c>
      <c r="D23">
        <f t="shared" si="6"/>
        <v>3.1818918691017828E-4</v>
      </c>
      <c r="E23">
        <f t="shared" si="7"/>
        <v>1.0152011186026488E-4</v>
      </c>
    </row>
    <row r="24" spans="1:5" x14ac:dyDescent="0.3">
      <c r="A24">
        <f t="shared" si="5"/>
        <v>16</v>
      </c>
      <c r="B24">
        <f t="shared" si="1"/>
        <v>1.8953703053714577</v>
      </c>
      <c r="C24">
        <f t="shared" si="2"/>
        <v>1.8955733455951782</v>
      </c>
      <c r="D24">
        <f t="shared" si="6"/>
        <v>2.0304022372052977E-4</v>
      </c>
      <c r="E24" s="1">
        <f t="shared" si="7"/>
        <v>-6.4770086100951474E-5</v>
      </c>
    </row>
    <row r="25" spans="1:5" x14ac:dyDescent="0.3">
      <c r="A25">
        <f t="shared" si="5"/>
        <v>17</v>
      </c>
      <c r="B25">
        <f t="shared" si="1"/>
        <v>1.8955733455951782</v>
      </c>
      <c r="C25">
        <f t="shared" si="2"/>
        <v>1.8954438054229763</v>
      </c>
      <c r="D25">
        <f t="shared" si="6"/>
        <v>1.2954017220190295E-4</v>
      </c>
      <c r="E25" s="1">
        <f t="shared" si="7"/>
        <v>4.1327989351080952E-5</v>
      </c>
    </row>
    <row r="26" spans="1:5" x14ac:dyDescent="0.3">
      <c r="A26">
        <f t="shared" si="5"/>
        <v>18</v>
      </c>
      <c r="B26">
        <f t="shared" si="1"/>
        <v>1.8954438054229763</v>
      </c>
      <c r="C26">
        <f t="shared" si="2"/>
        <v>1.8955264614016785</v>
      </c>
      <c r="D26" s="1">
        <f t="shared" si="6"/>
        <v>8.2655978702161903E-5</v>
      </c>
      <c r="E26" s="1">
        <f t="shared" si="7"/>
        <v>-2.6368403452270428E-5</v>
      </c>
    </row>
    <row r="27" spans="1:5" x14ac:dyDescent="0.3">
      <c r="A27">
        <f t="shared" si="5"/>
        <v>19</v>
      </c>
      <c r="B27">
        <f t="shared" si="1"/>
        <v>1.8955264614016785</v>
      </c>
      <c r="C27" s="5">
        <f t="shared" si="2"/>
        <v>1.8954737245947739</v>
      </c>
      <c r="D27" s="1">
        <f t="shared" si="6"/>
        <v>5.2736806904540856E-5</v>
      </c>
      <c r="E27" s="1">
        <f t="shared" si="7"/>
        <v>1.6824520440161805E-5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9AAB-B1E6-4CB1-B7D3-2608C28A190A}">
  <dimension ref="A1:F12"/>
  <sheetViews>
    <sheetView workbookViewId="0">
      <selection activeCell="C29" sqref="C29"/>
    </sheetView>
  </sheetViews>
  <sheetFormatPr defaultRowHeight="14.4" x14ac:dyDescent="0.3"/>
  <cols>
    <col min="3" max="3" width="10.109375" bestFit="1" customWidth="1"/>
    <col min="6" max="6" width="9.44140625" bestFit="1" customWidth="1"/>
  </cols>
  <sheetData>
    <row r="1" spans="1:6" x14ac:dyDescent="0.3">
      <c r="A1" t="s">
        <v>0</v>
      </c>
      <c r="B1" t="s">
        <v>22</v>
      </c>
    </row>
    <row r="2" spans="1:6" x14ac:dyDescent="0.3">
      <c r="A2" t="s">
        <v>15</v>
      </c>
      <c r="B2">
        <v>2</v>
      </c>
    </row>
    <row r="3" spans="1:6" x14ac:dyDescent="0.3">
      <c r="A3" t="s">
        <v>3</v>
      </c>
      <c r="B3">
        <v>1E-4</v>
      </c>
    </row>
    <row r="6" spans="1:6" x14ac:dyDescent="0.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3">
      <c r="A7">
        <v>0</v>
      </c>
      <c r="B7">
        <f>$B$2</f>
        <v>2</v>
      </c>
      <c r="C7">
        <f>SIN(B7)-0.5*B7</f>
        <v>-9.0702573174318291E-2</v>
      </c>
      <c r="D7">
        <f>COS(B7)-0.5</f>
        <v>-0.91614683654714235</v>
      </c>
      <c r="E7">
        <f>B7-C7/D7</f>
        <v>1.900995594203909</v>
      </c>
      <c r="F7">
        <f>ABS(E7-B7)</f>
        <v>9.9004405796091044E-2</v>
      </c>
    </row>
    <row r="8" spans="1:6" x14ac:dyDescent="0.3">
      <c r="A8">
        <f>A7+1</f>
        <v>1</v>
      </c>
      <c r="B8">
        <f>E7</f>
        <v>1.900995594203909</v>
      </c>
      <c r="C8">
        <f>SIN(B8)-0.5*B8</f>
        <v>-4.5200435703052211E-3</v>
      </c>
      <c r="D8">
        <f>COS(B8)-0.5</f>
        <v>-0.82423153736676236</v>
      </c>
      <c r="E8">
        <f>B8-C8/D8</f>
        <v>1.8955116453795946</v>
      </c>
      <c r="F8">
        <f>ABS(E8-B8)</f>
        <v>5.4839488243143553E-3</v>
      </c>
    </row>
    <row r="9" spans="1:6" x14ac:dyDescent="0.3">
      <c r="A9">
        <f t="shared" ref="A9:A12" si="0">A8+1</f>
        <v>2</v>
      </c>
      <c r="B9">
        <f t="shared" ref="B9:B12" si="1">E8</f>
        <v>1.8955116453795946</v>
      </c>
      <c r="C9" s="1">
        <f t="shared" ref="C9:C12" si="2">SIN(B9)-0.5*B9</f>
        <v>-1.4233399602714414E-5</v>
      </c>
      <c r="D9">
        <f t="shared" ref="D9:D12" si="3">COS(B9)-0.5</f>
        <v>-0.81903899437168515</v>
      </c>
      <c r="E9">
        <f t="shared" ref="E9:E12" si="4">B9-C9/D9</f>
        <v>1.8954942672087132</v>
      </c>
      <c r="F9" s="1">
        <f t="shared" ref="F9:F12" si="5">ABS(E9-B9)</f>
        <v>1.7378170881432453E-5</v>
      </c>
    </row>
    <row r="10" spans="1:6" x14ac:dyDescent="0.3">
      <c r="A10">
        <f t="shared" si="0"/>
        <v>3</v>
      </c>
      <c r="B10" s="6">
        <f t="shared" si="1"/>
        <v>1.8954942672087132</v>
      </c>
      <c r="C10" s="1">
        <f t="shared" si="2"/>
        <v>-1.4310963525332454E-10</v>
      </c>
      <c r="D10">
        <f t="shared" si="3"/>
        <v>-0.81902252430822076</v>
      </c>
      <c r="E10">
        <f t="shared" si="4"/>
        <v>1.8954942670339809</v>
      </c>
      <c r="F10" s="1">
        <f t="shared" si="5"/>
        <v>1.7473222868602534E-10</v>
      </c>
    </row>
    <row r="11" spans="1:6" x14ac:dyDescent="0.3">
      <c r="A11">
        <f t="shared" si="0"/>
        <v>4</v>
      </c>
      <c r="B11">
        <f t="shared" si="1"/>
        <v>1.8954942670339809</v>
      </c>
      <c r="C11">
        <f t="shared" si="2"/>
        <v>0</v>
      </c>
      <c r="D11">
        <f t="shared" si="3"/>
        <v>-0.81902252414261878</v>
      </c>
      <c r="E11">
        <f t="shared" si="4"/>
        <v>1.8954942670339809</v>
      </c>
      <c r="F11">
        <f t="shared" si="5"/>
        <v>0</v>
      </c>
    </row>
    <row r="12" spans="1:6" x14ac:dyDescent="0.3">
      <c r="A12">
        <f t="shared" si="0"/>
        <v>5</v>
      </c>
      <c r="B12">
        <f t="shared" si="1"/>
        <v>1.8954942670339809</v>
      </c>
      <c r="C12">
        <f t="shared" si="2"/>
        <v>0</v>
      </c>
      <c r="D12">
        <f t="shared" si="3"/>
        <v>-0.81902252414261878</v>
      </c>
      <c r="E12">
        <f t="shared" si="4"/>
        <v>1.8954942670339809</v>
      </c>
      <c r="F12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DFA56-A614-4401-A71C-89617C91ECF7}">
  <dimension ref="A1:G14"/>
  <sheetViews>
    <sheetView topLeftCell="A4" workbookViewId="0">
      <selection activeCell="E32" sqref="E32"/>
    </sheetView>
  </sheetViews>
  <sheetFormatPr defaultRowHeight="14.4" x14ac:dyDescent="0.3"/>
  <cols>
    <col min="3" max="4" width="9.44140625" bestFit="1" customWidth="1"/>
    <col min="5" max="5" width="10.109375" bestFit="1" customWidth="1"/>
    <col min="7" max="7" width="10.44140625" bestFit="1" customWidth="1"/>
  </cols>
  <sheetData>
    <row r="1" spans="1:7" x14ac:dyDescent="0.3">
      <c r="A1" t="s">
        <v>0</v>
      </c>
    </row>
    <row r="2" spans="1:7" x14ac:dyDescent="0.3">
      <c r="A2" t="s">
        <v>15</v>
      </c>
      <c r="B2">
        <v>1</v>
      </c>
    </row>
    <row r="3" spans="1:7" x14ac:dyDescent="0.3">
      <c r="A3" t="s">
        <v>29</v>
      </c>
      <c r="B3">
        <v>2</v>
      </c>
    </row>
    <row r="4" spans="1:7" x14ac:dyDescent="0.3">
      <c r="A4" t="s">
        <v>3</v>
      </c>
      <c r="B4">
        <v>1E-4</v>
      </c>
    </row>
    <row r="6" spans="1:7" x14ac:dyDescent="0.3">
      <c r="A6" t="s">
        <v>23</v>
      </c>
      <c r="B6" t="s">
        <v>24</v>
      </c>
      <c r="C6" t="s">
        <v>25</v>
      </c>
      <c r="D6" t="s">
        <v>30</v>
      </c>
      <c r="E6" t="s">
        <v>31</v>
      </c>
      <c r="F6" t="s">
        <v>27</v>
      </c>
      <c r="G6" t="s">
        <v>28</v>
      </c>
    </row>
    <row r="7" spans="1:7" x14ac:dyDescent="0.3">
      <c r="A7">
        <v>0</v>
      </c>
      <c r="B7">
        <f>$B$2</f>
        <v>1</v>
      </c>
      <c r="C7">
        <f>SIN(B7)-0.5*B7</f>
        <v>0.3414709848078965</v>
      </c>
    </row>
    <row r="8" spans="1:7" x14ac:dyDescent="0.3">
      <c r="A8">
        <v>1</v>
      </c>
      <c r="B8">
        <f>$B$3</f>
        <v>2</v>
      </c>
      <c r="C8">
        <f>SIN(B8)-0.5*B8</f>
        <v>-9.0702573174318291E-2</v>
      </c>
      <c r="D8">
        <f>B8-B7</f>
        <v>1</v>
      </c>
      <c r="E8">
        <f>C8-C7</f>
        <v>-0.4321735579822148</v>
      </c>
      <c r="F8">
        <f>B8-C8*D8/E8</f>
        <v>1.7901246582558137</v>
      </c>
      <c r="G8">
        <f>ABS(F8-B8)</f>
        <v>0.20987534174418632</v>
      </c>
    </row>
    <row r="9" spans="1:7" x14ac:dyDescent="0.3">
      <c r="A9">
        <f>A8+1</f>
        <v>2</v>
      </c>
      <c r="B9">
        <f>F8</f>
        <v>1.7901246582558137</v>
      </c>
      <c r="C9">
        <f>SIN(B9)-0.5*B9</f>
        <v>8.0981478031287746E-2</v>
      </c>
      <c r="D9">
        <f>B9-B8</f>
        <v>-0.20987534174418632</v>
      </c>
      <c r="E9">
        <f>C9-C8</f>
        <v>0.17168405120560604</v>
      </c>
      <c r="F9">
        <f>B9-C9*D9/E9</f>
        <v>1.8891205478414554</v>
      </c>
      <c r="G9">
        <f>ABS(F9-B9)</f>
        <v>9.8995889585641761E-2</v>
      </c>
    </row>
    <row r="10" spans="1:7" x14ac:dyDescent="0.3">
      <c r="A10">
        <f t="shared" ref="A10:A14" si="0">A9+1</f>
        <v>3</v>
      </c>
      <c r="B10">
        <f t="shared" ref="B10:B14" si="1">F9</f>
        <v>1.8891205478414554</v>
      </c>
      <c r="C10">
        <f t="shared" ref="C10:C14" si="2">SIN(B10)-0.5*B10</f>
        <v>5.2009550989279285E-3</v>
      </c>
      <c r="D10">
        <f t="shared" ref="D10:D14" si="3">B10-B9</f>
        <v>9.8995889585641761E-2</v>
      </c>
      <c r="E10">
        <f t="shared" ref="E10:E14" si="4">C10-C9</f>
        <v>-7.5780522932359817E-2</v>
      </c>
      <c r="F10">
        <f t="shared" ref="F10:F14" si="5">B10-C10*D10/E10</f>
        <v>1.8959148157719223</v>
      </c>
      <c r="G10">
        <f t="shared" ref="G10:G14" si="6">ABS(F10-B10)</f>
        <v>6.7942679304668907E-3</v>
      </c>
    </row>
    <row r="11" spans="1:7" x14ac:dyDescent="0.3">
      <c r="A11">
        <f t="shared" si="0"/>
        <v>4</v>
      </c>
      <c r="B11">
        <f t="shared" si="1"/>
        <v>1.8959148157719223</v>
      </c>
      <c r="C11">
        <f t="shared" si="2"/>
        <v>-3.4452269478479902E-4</v>
      </c>
      <c r="D11">
        <f t="shared" si="3"/>
        <v>6.7942679304668907E-3</v>
      </c>
      <c r="E11">
        <f t="shared" si="4"/>
        <v>-5.5454777937127275E-3</v>
      </c>
      <c r="F11">
        <f t="shared" si="5"/>
        <v>1.8954927097634646</v>
      </c>
      <c r="G11">
        <f t="shared" si="6"/>
        <v>4.2210600845771218E-4</v>
      </c>
    </row>
    <row r="12" spans="1:7" x14ac:dyDescent="0.3">
      <c r="A12">
        <f t="shared" si="0"/>
        <v>5</v>
      </c>
      <c r="B12">
        <f t="shared" si="1"/>
        <v>1.8954927097634646</v>
      </c>
      <c r="C12" s="1">
        <f t="shared" si="2"/>
        <v>1.2754384798308038E-6</v>
      </c>
      <c r="D12">
        <f t="shared" si="3"/>
        <v>-4.2210600845771218E-4</v>
      </c>
      <c r="E12">
        <f t="shared" si="4"/>
        <v>3.4579813326462983E-4</v>
      </c>
      <c r="F12" s="6">
        <f t="shared" si="5"/>
        <v>1.8954942666551711</v>
      </c>
      <c r="G12" s="7">
        <f t="shared" si="6"/>
        <v>1.5568917064445742E-6</v>
      </c>
    </row>
    <row r="13" spans="1:7" x14ac:dyDescent="0.3">
      <c r="A13">
        <f t="shared" si="0"/>
        <v>6</v>
      </c>
      <c r="B13">
        <f t="shared" si="1"/>
        <v>1.8954942666551711</v>
      </c>
      <c r="C13" s="1">
        <f t="shared" si="2"/>
        <v>3.1025382263294432E-10</v>
      </c>
      <c r="D13" s="1">
        <f t="shared" si="3"/>
        <v>1.5568917064445742E-6</v>
      </c>
      <c r="E13" s="1">
        <f t="shared" si="4"/>
        <v>-1.2751282260081709E-6</v>
      </c>
      <c r="F13">
        <f t="shared" si="5"/>
        <v>1.8954942670339814</v>
      </c>
      <c r="G13" s="1">
        <f t="shared" si="6"/>
        <v>3.7881031644815266E-10</v>
      </c>
    </row>
    <row r="14" spans="1:7" x14ac:dyDescent="0.3">
      <c r="A14">
        <f t="shared" si="0"/>
        <v>7</v>
      </c>
      <c r="B14">
        <f t="shared" si="1"/>
        <v>1.8954942670339814</v>
      </c>
      <c r="C14">
        <f t="shared" si="2"/>
        <v>0</v>
      </c>
      <c r="D14" s="1">
        <f t="shared" si="3"/>
        <v>3.7881031644815266E-10</v>
      </c>
      <c r="E14" s="1">
        <f t="shared" si="4"/>
        <v>-3.1025382263294432E-10</v>
      </c>
      <c r="F14">
        <f t="shared" si="5"/>
        <v>1.8954942670339814</v>
      </c>
      <c r="G14">
        <f t="shared" si="6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65349-F703-4991-99F8-3561D2BC0365}">
  <dimension ref="A1:D5"/>
  <sheetViews>
    <sheetView workbookViewId="0">
      <selection activeCell="H9" sqref="H9"/>
    </sheetView>
  </sheetViews>
  <sheetFormatPr defaultRowHeight="14.4" x14ac:dyDescent="0.3"/>
  <cols>
    <col min="3" max="3" width="9" customWidth="1"/>
  </cols>
  <sheetData>
    <row r="1" spans="1:4" x14ac:dyDescent="0.3">
      <c r="A1" t="s">
        <v>32</v>
      </c>
      <c r="B1" t="s">
        <v>33</v>
      </c>
      <c r="C1" t="s">
        <v>34</v>
      </c>
      <c r="D1" t="s">
        <v>35</v>
      </c>
    </row>
    <row r="2" spans="1:4" x14ac:dyDescent="0.3">
      <c r="A2" t="s">
        <v>36</v>
      </c>
      <c r="B2">
        <v>14</v>
      </c>
      <c r="C2" s="8">
        <v>1.8954500000000001</v>
      </c>
      <c r="D2" t="s">
        <v>40</v>
      </c>
    </row>
    <row r="3" spans="1:4" x14ac:dyDescent="0.3">
      <c r="A3" t="s">
        <v>37</v>
      </c>
      <c r="B3">
        <v>19</v>
      </c>
      <c r="C3">
        <v>1.8957470000000001</v>
      </c>
      <c r="D3" t="s">
        <v>41</v>
      </c>
    </row>
    <row r="4" spans="1:4" x14ac:dyDescent="0.3">
      <c r="A4" t="s">
        <v>38</v>
      </c>
      <c r="B4">
        <v>3</v>
      </c>
      <c r="C4">
        <v>1.895494</v>
      </c>
      <c r="D4" t="s">
        <v>42</v>
      </c>
    </row>
    <row r="5" spans="1:4" x14ac:dyDescent="0.3">
      <c r="A5" t="s">
        <v>39</v>
      </c>
      <c r="B5">
        <v>5</v>
      </c>
      <c r="C5">
        <v>1.895494</v>
      </c>
      <c r="D5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29425-6547-479F-A452-CB248BCF45B6}">
  <dimension ref="A1:B32"/>
  <sheetViews>
    <sheetView tabSelected="1" topLeftCell="A8" workbookViewId="0">
      <selection activeCell="H10" sqref="H10"/>
    </sheetView>
  </sheetViews>
  <sheetFormatPr defaultRowHeight="14.4" x14ac:dyDescent="0.3"/>
  <sheetData>
    <row r="1" spans="1:2" x14ac:dyDescent="0.3">
      <c r="A1" t="s">
        <v>44</v>
      </c>
      <c r="B1" t="s">
        <v>45</v>
      </c>
    </row>
    <row r="2" spans="1:2" x14ac:dyDescent="0.3">
      <c r="A2">
        <v>0</v>
      </c>
      <c r="B2">
        <f>SIN(A2)-0.5*A2</f>
        <v>0</v>
      </c>
    </row>
    <row r="3" spans="1:2" x14ac:dyDescent="0.3">
      <c r="A3">
        <v>0.1</v>
      </c>
      <c r="B3">
        <f t="shared" ref="B3:B32" si="0">SIN(A3)-0.5*A3</f>
        <v>4.9833416646828152E-2</v>
      </c>
    </row>
    <row r="4" spans="1:2" x14ac:dyDescent="0.3">
      <c r="A4">
        <v>0.2</v>
      </c>
      <c r="B4">
        <f t="shared" si="0"/>
        <v>9.8669330795061211E-2</v>
      </c>
    </row>
    <row r="5" spans="1:2" x14ac:dyDescent="0.3">
      <c r="A5">
        <v>0.3</v>
      </c>
      <c r="B5">
        <f t="shared" si="0"/>
        <v>0.14552020666133955</v>
      </c>
    </row>
    <row r="6" spans="1:2" x14ac:dyDescent="0.3">
      <c r="A6">
        <v>0.4</v>
      </c>
      <c r="B6">
        <f t="shared" si="0"/>
        <v>0.18941834230865051</v>
      </c>
    </row>
    <row r="7" spans="1:2" x14ac:dyDescent="0.3">
      <c r="A7">
        <v>0.5</v>
      </c>
      <c r="B7">
        <f t="shared" si="0"/>
        <v>0.22942553860420301</v>
      </c>
    </row>
    <row r="8" spans="1:2" x14ac:dyDescent="0.3">
      <c r="A8">
        <v>0.6</v>
      </c>
      <c r="B8">
        <f t="shared" si="0"/>
        <v>0.26464247339503538</v>
      </c>
    </row>
    <row r="9" spans="1:2" x14ac:dyDescent="0.3">
      <c r="A9">
        <v>0.7</v>
      </c>
      <c r="B9">
        <f t="shared" si="0"/>
        <v>0.29421768723769104</v>
      </c>
    </row>
    <row r="10" spans="1:2" x14ac:dyDescent="0.3">
      <c r="A10">
        <v>0.8</v>
      </c>
      <c r="B10">
        <f t="shared" si="0"/>
        <v>0.31735609089952277</v>
      </c>
    </row>
    <row r="11" spans="1:2" x14ac:dyDescent="0.3">
      <c r="A11">
        <v>0.9</v>
      </c>
      <c r="B11">
        <f t="shared" si="0"/>
        <v>0.3333269096274834</v>
      </c>
    </row>
    <row r="12" spans="1:2" x14ac:dyDescent="0.3">
      <c r="A12">
        <v>1</v>
      </c>
      <c r="B12">
        <f t="shared" si="0"/>
        <v>0.3414709848078965</v>
      </c>
    </row>
    <row r="13" spans="1:2" x14ac:dyDescent="0.3">
      <c r="A13">
        <v>1.1000000000000001</v>
      </c>
      <c r="B13">
        <f t="shared" si="0"/>
        <v>0.34120736006143537</v>
      </c>
    </row>
    <row r="14" spans="1:2" x14ac:dyDescent="0.3">
      <c r="A14">
        <v>1.2</v>
      </c>
      <c r="B14">
        <f t="shared" si="0"/>
        <v>0.33203908596722631</v>
      </c>
    </row>
    <row r="15" spans="1:2" x14ac:dyDescent="0.3">
      <c r="A15">
        <v>1.3</v>
      </c>
      <c r="B15">
        <f t="shared" si="0"/>
        <v>0.31355818541719294</v>
      </c>
    </row>
    <row r="16" spans="1:2" x14ac:dyDescent="0.3">
      <c r="A16">
        <v>1.4</v>
      </c>
      <c r="B16">
        <f t="shared" si="0"/>
        <v>0.28544972998846019</v>
      </c>
    </row>
    <row r="17" spans="1:2" x14ac:dyDescent="0.3">
      <c r="A17">
        <v>1.5</v>
      </c>
      <c r="B17">
        <f t="shared" si="0"/>
        <v>0.24749498660405445</v>
      </c>
    </row>
    <row r="18" spans="1:2" x14ac:dyDescent="0.3">
      <c r="A18">
        <v>1.6</v>
      </c>
      <c r="B18">
        <f t="shared" si="0"/>
        <v>0.19957360304150507</v>
      </c>
    </row>
    <row r="19" spans="1:2" x14ac:dyDescent="0.3">
      <c r="A19">
        <v>1.7</v>
      </c>
      <c r="B19">
        <f t="shared" si="0"/>
        <v>0.14166481045246859</v>
      </c>
    </row>
    <row r="20" spans="1:2" x14ac:dyDescent="0.3">
      <c r="A20">
        <v>1.8</v>
      </c>
      <c r="B20">
        <f t="shared" si="0"/>
        <v>7.3847630878195125E-2</v>
      </c>
    </row>
    <row r="21" spans="1:2" x14ac:dyDescent="0.3">
      <c r="A21">
        <v>1.9</v>
      </c>
      <c r="B21">
        <f t="shared" si="0"/>
        <v>-3.6999123125854849E-3</v>
      </c>
    </row>
    <row r="22" spans="1:2" x14ac:dyDescent="0.3">
      <c r="A22">
        <v>2</v>
      </c>
      <c r="B22">
        <f t="shared" si="0"/>
        <v>-9.0702573174318291E-2</v>
      </c>
    </row>
    <row r="23" spans="1:2" x14ac:dyDescent="0.3">
      <c r="A23">
        <v>2.1</v>
      </c>
      <c r="B23">
        <f t="shared" si="0"/>
        <v>-0.18679063335112633</v>
      </c>
    </row>
    <row r="24" spans="1:2" x14ac:dyDescent="0.3">
      <c r="A24">
        <v>2.2000000000000002</v>
      </c>
      <c r="B24">
        <f t="shared" si="0"/>
        <v>-0.29150359618041</v>
      </c>
    </row>
    <row r="25" spans="1:2" x14ac:dyDescent="0.3">
      <c r="A25">
        <v>2.2999999999999998</v>
      </c>
      <c r="B25">
        <f t="shared" si="0"/>
        <v>-0.40429478782327966</v>
      </c>
    </row>
    <row r="26" spans="1:2" x14ac:dyDescent="0.3">
      <c r="A26">
        <v>2.4</v>
      </c>
      <c r="B26">
        <f t="shared" si="0"/>
        <v>-0.524536819448849</v>
      </c>
    </row>
    <row r="27" spans="1:2" x14ac:dyDescent="0.3">
      <c r="A27">
        <v>2.5</v>
      </c>
      <c r="B27">
        <f t="shared" si="0"/>
        <v>-0.65152785589604345</v>
      </c>
    </row>
    <row r="28" spans="1:2" x14ac:dyDescent="0.3">
      <c r="A28">
        <v>2.6</v>
      </c>
      <c r="B28">
        <f t="shared" si="0"/>
        <v>-0.78449862817853588</v>
      </c>
    </row>
    <row r="29" spans="1:2" x14ac:dyDescent="0.3">
      <c r="A29">
        <v>2.7</v>
      </c>
      <c r="B29">
        <f t="shared" si="0"/>
        <v>-0.92262011976617031</v>
      </c>
    </row>
    <row r="30" spans="1:2" x14ac:dyDescent="0.3">
      <c r="A30">
        <v>2.8</v>
      </c>
      <c r="B30">
        <f t="shared" si="0"/>
        <v>-1.0650118498440948</v>
      </c>
    </row>
    <row r="31" spans="1:2" x14ac:dyDescent="0.3">
      <c r="A31">
        <v>2.9</v>
      </c>
      <c r="B31">
        <f t="shared" si="0"/>
        <v>-1.2107506707860176</v>
      </c>
    </row>
    <row r="32" spans="1:2" x14ac:dyDescent="0.3">
      <c r="A32">
        <v>3</v>
      </c>
      <c r="B32">
        <f t="shared" si="0"/>
        <v>-1.3588799919401329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Бисекция</vt:lpstr>
      <vt:lpstr>Простая интеграция</vt:lpstr>
      <vt:lpstr>Ньютон</vt:lpstr>
      <vt:lpstr>Секущие</vt:lpstr>
      <vt:lpstr>Сравнение</vt:lpstr>
      <vt:lpstr>График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Беляков</dc:creator>
  <cp:lastModifiedBy>Your Office</cp:lastModifiedBy>
  <dcterms:created xsi:type="dcterms:W3CDTF">2015-06-05T18:19:34Z</dcterms:created>
  <dcterms:modified xsi:type="dcterms:W3CDTF">2026-09-20T17:04:31Z</dcterms:modified>
</cp:coreProperties>
</file>